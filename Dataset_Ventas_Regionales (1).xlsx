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4"/>
    <sheet state="visible" name="Reporte_Consolidado_M1" sheetId="2" r:id="rId5"/>
    <sheet state="visible" name="Maestro_Productos_Precios" sheetId="3" r:id="rId6"/>
    <sheet state="visible" name="TD_Resumen_Ejecutivo." sheetId="4" r:id="rId7"/>
    <sheet state="visible" name="Datos limpios" sheetId="5" r:id="rId8"/>
  </sheets>
  <definedNames/>
  <calcPr/>
  <pivotCaches>
    <pivotCache cacheId="0" r:id="rId9"/>
  </pivotCaches>
  <extLst>
    <ext uri="GoogleSheetsCustomDataVersion2">
      <go:sheetsCustomData xmlns:go="http://customooxmlschemas.google.com/" r:id="rId10" roundtripDataChecksum="NJYpWNlNCVYCuwdSZr1QDVsogEpIk4yQbNTz+1ROZYM="/>
    </ext>
  </extLst>
</workbook>
</file>

<file path=xl/sharedStrings.xml><?xml version="1.0" encoding="utf-8"?>
<sst xmlns="http://schemas.openxmlformats.org/spreadsheetml/2006/main" count="169" uniqueCount="86">
  <si>
    <t>Ciudad</t>
  </si>
  <si>
    <t>Total de Ventas</t>
  </si>
  <si>
    <t>Posadas</t>
  </si>
  <si>
    <t>ID_Transaccion</t>
  </si>
  <si>
    <t>SKU</t>
  </si>
  <si>
    <t>Columnas</t>
  </si>
  <si>
    <t>Filas</t>
  </si>
  <si>
    <t>Valores</t>
  </si>
  <si>
    <t>Region</t>
  </si>
  <si>
    <t>Producto</t>
  </si>
  <si>
    <t>Cod_Verificado</t>
  </si>
  <si>
    <t>Categoria</t>
  </si>
  <si>
    <t>Fecha</t>
  </si>
  <si>
    <t>Proveedor</t>
  </si>
  <si>
    <t>Sucursal</t>
  </si>
  <si>
    <t>Precio_Lista</t>
  </si>
  <si>
    <t>Vendedor</t>
  </si>
  <si>
    <t>Costo_Base</t>
  </si>
  <si>
    <t>Cantidad</t>
  </si>
  <si>
    <t>Margen_Esperado</t>
  </si>
  <si>
    <t>Precio_Unitario</t>
  </si>
  <si>
    <t>Costo_Unitario</t>
  </si>
  <si>
    <t>SKU-501</t>
  </si>
  <si>
    <t xml:space="preserve">mes </t>
  </si>
  <si>
    <t>dia</t>
  </si>
  <si>
    <t>numero dia</t>
  </si>
  <si>
    <t>nombre del dia</t>
  </si>
  <si>
    <t>Yerba Mate 1kg</t>
  </si>
  <si>
    <t>dia y mes</t>
  </si>
  <si>
    <t>Proveedores</t>
  </si>
  <si>
    <t>Margen</t>
  </si>
  <si>
    <t>Alimentos</t>
  </si>
  <si>
    <t>Proveedor_Oficial</t>
  </si>
  <si>
    <t>Comision_Estado</t>
  </si>
  <si>
    <t>Cooperativa Neike</t>
  </si>
  <si>
    <t>TRX-1001</t>
  </si>
  <si>
    <t>0.31</t>
  </si>
  <si>
    <t>SKU-502</t>
  </si>
  <si>
    <t>Auriculares Bluetooth</t>
  </si>
  <si>
    <t>Corrientes</t>
  </si>
  <si>
    <t>Tecnologia</t>
  </si>
  <si>
    <t>Juan Perez</t>
  </si>
  <si>
    <t>TechImport S.R.L.</t>
  </si>
  <si>
    <t>0.36</t>
  </si>
  <si>
    <t>SKU-503</t>
  </si>
  <si>
    <t>Correa Canina 3m</t>
  </si>
  <si>
    <t>Accesorios</t>
  </si>
  <si>
    <t>PetStyle Litoral</t>
  </si>
  <si>
    <t>0.41</t>
  </si>
  <si>
    <t>SKU-504</t>
  </si>
  <si>
    <t>Soporte Notebook</t>
  </si>
  <si>
    <t>0.38</t>
  </si>
  <si>
    <t>SKU-505</t>
  </si>
  <si>
    <t>Alimento Perro 20kg</t>
  </si>
  <si>
    <t>NutriDog Arg</t>
  </si>
  <si>
    <t>0.28</t>
  </si>
  <si>
    <t>SKU-506</t>
  </si>
  <si>
    <t>Juguete Mordillo</t>
  </si>
  <si>
    <t>TRX-1002</t>
  </si>
  <si>
    <t>0.44</t>
  </si>
  <si>
    <t>Resistencia</t>
  </si>
  <si>
    <t>SKU-507</t>
  </si>
  <si>
    <t>Maria Gomez</t>
  </si>
  <si>
    <t>Alimento Gato 10kg</t>
  </si>
  <si>
    <t>0.32</t>
  </si>
  <si>
    <t>TRX-1003</t>
  </si>
  <si>
    <t>juan perez</t>
  </si>
  <si>
    <t>TRX-1004</t>
  </si>
  <si>
    <t>Carlos Ruiz</t>
  </si>
  <si>
    <t>TRX-1005</t>
  </si>
  <si>
    <t>TRX-1006</t>
  </si>
  <si>
    <t>TRX-1007</t>
  </si>
  <si>
    <t>TRX-1008</t>
  </si>
  <si>
    <t>TRX-1009</t>
  </si>
  <si>
    <t>TRX-1010</t>
  </si>
  <si>
    <t>TRX-1011</t>
  </si>
  <si>
    <t>TRX-1012</t>
  </si>
  <si>
    <t>TRX-1013</t>
  </si>
  <si>
    <t>TRX-1014</t>
  </si>
  <si>
    <t>TRX-1015</t>
  </si>
  <si>
    <t>TRX-1016</t>
  </si>
  <si>
    <t>TRX-1017</t>
  </si>
  <si>
    <t>TRX-1018</t>
  </si>
  <si>
    <t>TRX-1019</t>
  </si>
  <si>
    <t>TRX-1020</t>
  </si>
  <si>
    <t>Agua Saborizada Guille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</si>
</sst>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88038"/>
      <name val="'Roboto Mono'"/>
    </font>
    <font>
      <color theme="1"/>
      <name val="Arial"/>
    </font>
    <font>
      <sz val="11.0"/>
      <color theme="1"/>
      <name val="'Roboto Mono'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2" fillId="2" fontId="3" numFmtId="0" xfId="0" applyAlignment="1" applyBorder="1" applyFill="1" applyFont="1">
      <alignment horizontal="right" shrinkToFit="0" vertical="center" wrapText="0"/>
    </xf>
    <xf borderId="3" fillId="2" fontId="3" numFmtId="0" xfId="0" applyAlignment="1" applyBorder="1" applyFill="1" applyFont="1">
      <alignment shrinkToFit="0" vertical="center" wrapText="0"/>
    </xf>
    <xf borderId="0" fillId="0" fontId="3" numFmtId="3" xfId="0" applyAlignment="1" applyFont="1" applyNumberForma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5" fillId="3" fontId="3" numFmtId="0" xfId="0" applyAlignment="1" applyBorder="1" applyFill="1" applyFont="1">
      <alignment horizontal="right" shrinkToFit="0" vertical="center" wrapText="0"/>
    </xf>
    <xf borderId="0" fillId="0" fontId="3" numFmtId="0" xfId="0" applyAlignment="1" applyFont="1">
      <alignment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7" fillId="2" fontId="3" numFmtId="0" xfId="0" applyAlignment="1" applyBorder="1" applyFill="1" applyFont="1">
      <alignment shrinkToFit="0" vertical="center" wrapText="0"/>
    </xf>
    <xf borderId="8" fillId="2" fontId="3" numFmtId="0" xfId="0" applyAlignment="1" applyBorder="1" applyFill="1" applyFont="1">
      <alignment shrinkToFit="0" vertical="center" wrapText="0"/>
    </xf>
    <xf borderId="8" fillId="2" fontId="3" numFmtId="0" xfId="0" applyAlignment="1" applyBorder="1" applyFill="1" applyFont="1">
      <alignment horizontal="right" shrinkToFit="0" vertical="center" wrapText="0"/>
    </xf>
    <xf borderId="9" fillId="2" fontId="3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Untit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estro_Productos_Prec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22" sheet="Untitled"/>
  </cacheSource>
  <cacheFields>
    <cacheField name="ID_Transaccion" numFmtId="0">
      <sharedItems containsBlank="1">
        <s v="TRX-1001"/>
        <s v="TRX-1002"/>
        <s v="TRX-1003"/>
        <s v="TRX-1004"/>
        <s v="TRX-1005"/>
        <s v="TRX-1006"/>
        <s v="TRX-1007"/>
        <s v="TRX-1008"/>
        <s v="TRX-1009"/>
        <s v="TRX-1010"/>
        <s v="TRX-1011"/>
        <s v="TRX-1012"/>
        <s v="TRX-1013"/>
        <s v="TRX-1014"/>
        <s v="TRX-1015"/>
        <s v="TRX-1016"/>
        <s v="TRX-1017"/>
        <s v="TRX-1018"/>
        <s v="TRX-1019"/>
        <s v="TRX-1020"/>
        <m/>
      </sharedItems>
    </cacheField>
    <cacheField name="Region" numFmtId="3">
      <sharedItems>
        <s v="TR"/>
        <s v=""/>
      </sharedItems>
    </cacheField>
    <cacheField name="Cod_Verificado" numFmtId="3">
      <sharedItems containsSemiMixedTypes="0" containsString="0" containsNumber="1" containsInteger="1">
        <n v="8.0"/>
        <n v="0.0"/>
      </sharedItems>
    </cacheField>
    <cacheField name="Fecha" numFmtId="164">
      <sharedItems containsDate="1" containsString="0" containsBlank="1">
        <d v="2026-01-05T00:00:00Z"/>
        <d v="2026-01-06T00:00:00Z"/>
        <d v="2026-01-08T00:00:00Z"/>
        <d v="2026-01-10T00:00:00Z"/>
        <d v="2026-01-11T00:00:00Z"/>
        <d v="2026-01-12T00:00:00Z"/>
        <d v="2026-01-15T00:00:00Z"/>
        <d v="2026-01-16T00:00:00Z"/>
        <d v="2026-01-18T00:00:00Z"/>
        <d v="2026-01-20T00:00:00Z"/>
        <d v="2026-01-22T00:00:00Z"/>
        <d v="2026-01-25T00:00:00Z"/>
        <d v="2026-01-28T00:00:00Z"/>
        <d v="2026-02-02T00:00:00Z"/>
        <d v="2026-02-04T00:00:00Z"/>
        <d v="2026-02-05T00:00:00Z"/>
        <d v="2026-02-08T00:00:00Z"/>
        <d v="2026-02-10T00:00:00Z"/>
        <d v="2026-02-12T00:00:00Z"/>
        <m/>
      </sharedItems>
    </cacheField>
    <cacheField name="Sucursal" numFmtId="0">
      <sharedItems containsBlank="1">
        <s v="Corrientes"/>
        <s v="Resistencia"/>
        <s v="Posadas"/>
        <m/>
      </sharedItems>
    </cacheField>
    <cacheField name="Vendedor" numFmtId="0">
      <sharedItems containsBlank="1">
        <s v="Juan Perez"/>
        <s v="Maria Gomez"/>
        <s v="Carlos Ruiz"/>
        <m/>
      </sharedItems>
    </cacheField>
    <cacheField name="Categoria" numFmtId="0">
      <sharedItems containsBlank="1">
        <s v="Alimentos"/>
        <s v="Tecnologia"/>
        <s v="Accesorios"/>
        <m/>
      </sharedItems>
    </cacheField>
    <cacheField name="Producto" numFmtId="0">
      <sharedItems>
        <s v="Yerba Mate 1kg"/>
        <s v="Auriculares Bluetooth"/>
        <s v="Correa Canina 3m"/>
        <s v="Soporte Notebook"/>
        <s v="Alimento Perro 20kg"/>
        <s v="Juguete Mordillo"/>
        <s v="Alimento Gato 10kg"/>
        <s v="Agua Saborizada Guille"/>
      </sharedItems>
    </cacheField>
    <cacheField name="Cantidad" numFmtId="0">
      <sharedItems containsString="0" containsBlank="1" containsNumber="1" containsInteger="1">
        <n v="15.0"/>
        <n v="4.0"/>
        <n v="8.0"/>
        <n v="12.0"/>
        <n v="3.0"/>
        <n v="5.0"/>
        <n v="20.0"/>
        <n v="6.0"/>
        <n v="10.0"/>
        <n v="14.0"/>
        <n v="9.0"/>
        <n v="7.0"/>
        <n v="25.0"/>
        <n v="18.0"/>
        <m/>
      </sharedItems>
    </cacheField>
    <cacheField name="Precio_Unitario" numFmtId="0">
      <sharedItems containsString="0" containsBlank="1" containsNumber="1" containsInteger="1">
        <n v="3500.0"/>
        <n v="25000.0"/>
        <n v="8500.0"/>
        <n v="18000.0"/>
        <n v="42000.0"/>
        <n v="4500.0"/>
        <n v="28000.0"/>
        <m/>
      </sharedItems>
    </cacheField>
    <cacheField name="Costo_Unitario" numFmtId="0">
      <sharedItems containsString="0" containsBlank="1" containsNumber="1" containsInteger="1">
        <n v="2400.0"/>
        <n v="16000.0"/>
        <n v="5000.0"/>
        <n v="11000.0"/>
        <n v="30000.0"/>
        <n v="2500.0"/>
        <n v="19000.0"/>
        <m/>
      </sharedItems>
    </cacheField>
    <cacheField name="mes " numFmtId="0">
      <sharedItems containsSemiMixedTypes="0" containsString="0" containsNumber="1" containsInteger="1">
        <n v="1.0"/>
        <n v="2.0"/>
        <n v="12.0"/>
      </sharedItems>
    </cacheField>
    <cacheField name="dia" numFmtId="0">
      <sharedItems containsSemiMixedTypes="0" containsString="0" containsNumber="1" containsInteger="1">
        <n v="5.0"/>
        <n v="6.0"/>
        <n v="8.0"/>
        <n v="10.0"/>
        <n v="11.0"/>
        <n v="12.0"/>
        <n v="15.0"/>
        <n v="16.0"/>
        <n v="18.0"/>
        <n v="20.0"/>
        <n v="22.0"/>
        <n v="25.0"/>
        <n v="28.0"/>
        <n v="2.0"/>
        <n v="4.0"/>
        <n v="30.0"/>
      </sharedItems>
    </cacheField>
    <cacheField name="numero dia" numFmtId="0">
      <sharedItems containsSemiMixedTypes="0" containsString="0" containsNumber="1" containsInteger="1">
        <n v="5.0"/>
        <n v="6.0"/>
        <n v="1.0"/>
        <n v="3.0"/>
        <n v="4.0"/>
        <n v="2.0"/>
        <n v="7.0"/>
      </sharedItems>
    </cacheField>
    <cacheField name="nombre del dia" numFmtId="0">
      <sharedItems>
        <s v="jueves"/>
        <s v="viernes"/>
        <s v="domingo"/>
        <s v="martes"/>
        <s v="miércoles"/>
        <s v="lunes"/>
        <s v="sábado"/>
      </sharedItems>
    </cacheField>
    <cacheField name="dia y mes" numFmtId="0">
      <sharedItems>
        <s v="01-05"/>
        <s v="01-06"/>
        <s v="01-08"/>
        <s v="01-10"/>
        <s v="01-11"/>
        <s v="01-12"/>
        <s v="01-15"/>
        <s v="01-16"/>
        <s v="01-18"/>
        <s v="01-20"/>
        <s v="01-22"/>
        <s v="01-25"/>
        <s v="01-28"/>
        <s v="02-02"/>
        <s v="02-04"/>
        <s v="02-05"/>
        <s v="02-08"/>
        <s v="02-10"/>
        <s v="02-12"/>
        <s v=""/>
      </sharedItems>
    </cacheField>
    <cacheField name="Proveedores" numFmtId="0">
      <sharedItems>
        <s v="Cooperativa Neike"/>
        <s v="TechImport S.R.L."/>
        <s v="PetStyle Litoral"/>
        <s v="NutriDog Arg"/>
        <s v="Producto no encontrado"/>
      </sharedItems>
    </cacheField>
    <cacheField name="Margen" numFmtId="0">
      <sharedItems>
        <s v="0.31"/>
        <s v="0.36"/>
        <s v="0.41"/>
        <s v="0.38"/>
        <s v="0.28"/>
        <s v="0.44"/>
        <s v="0.32"/>
        <s v="No Encontrado"/>
      </sharedItems>
    </cacheField>
    <cacheField name="Proveedor_Oficial" numFmtId="0">
      <sharedItems>
        <s v="Cooperativa Neike"/>
        <s v="TechImport S.R.L."/>
        <s v="PetStyle Litoral"/>
        <s v="NutriDog Arg"/>
        <s v="Producto no encontrado"/>
      </sharedItems>
    </cacheField>
    <cacheField name="Comision_Estado" numFmtId="0">
      <sharedItems containsSemiMixedTypes="0" containsString="0" containsNumber="1" containsInteger="1">
        <n v="175.0"/>
        <n v="1250.0"/>
        <n v="425.0"/>
        <n v="900.0"/>
        <n v="2100.0"/>
        <n v="225.0"/>
        <n v="14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_Resumen_Ejecutivo." cacheId="0" dataCaption="" compact="0" compactData="0">
  <location ref="A1:E10" firstHeaderRow="0" firstDataRow="0" firstDataCol="0"/>
  <pivotFields>
    <pivotField name="ID_Transac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gion" compact="0" numFmtId="3" outline="0" multipleItemSelectionAllowed="1" showAll="0">
      <items>
        <item x="0"/>
        <item x="1"/>
        <item t="default"/>
      </items>
    </pivotField>
    <pivotField name="Cod_Verificado" compact="0" numFmtId="3" outline="0" multipleItemSelectionAllowed="1" showAll="0">
      <items>
        <item x="0"/>
        <item x="1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cursal" compact="0" outline="0" multipleItemSelectionAllowed="1" showAll="0">
      <items>
        <item x="0"/>
        <item x="1"/>
        <item x="2"/>
        <item x="3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st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s " compact="0" outline="0" multipleItemSelectionAllowed="1" showAll="0">
      <items>
        <item x="0"/>
        <item x="1"/>
        <item x="2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umero 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ombre del d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 y 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veedor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ge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veedor_Ofici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ision_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</pivotTableDefinition>
</file>

<file path=xl/tables/table1.xml><?xml version="1.0" encoding="utf-8"?>
<table xmlns="http://schemas.openxmlformats.org/spreadsheetml/2006/main" ref="A1:T22" displayName="Tabla_1" name="Tabla_1" id="1">
  <tableColumns count="20">
    <tableColumn name="ID_Transaccion" id="1"/>
    <tableColumn name="Region" id="2"/>
    <tableColumn name="Cod_Verificado" id="3"/>
    <tableColumn name="Fecha" id="4"/>
    <tableColumn name="Sucursal" id="5"/>
    <tableColumn name="Vendedor" id="6"/>
    <tableColumn name="Categoria" id="7"/>
    <tableColumn name="Producto" id="8"/>
    <tableColumn name="Cantidad" id="9"/>
    <tableColumn name="Precio_Unitario" id="10"/>
    <tableColumn name="Costo_Unitario" id="11"/>
    <tableColumn name="mes " id="12"/>
    <tableColumn name="dia" id="13"/>
    <tableColumn name="numero dia" id="14"/>
    <tableColumn name="nombre del dia" id="15"/>
    <tableColumn name="dia y mes" id="16"/>
    <tableColumn name="Proveedores" id="17"/>
    <tableColumn name="Margen" id="18"/>
    <tableColumn name="Proveedor_Oficial" id="19"/>
    <tableColumn name="Comision_Estado" id="20"/>
  </tableColumns>
  <tableStyleInfo name="Untitled-style" showColumnStripes="0" showFirstColumn="1" showLastColumn="1" showRowStripes="1"/>
</table>
</file>

<file path=xl/tables/table2.xml><?xml version="1.0" encoding="utf-8"?>
<table xmlns="http://schemas.openxmlformats.org/spreadsheetml/2006/main" ref="A1:G8" displayName="Tabla_2" name="Tabla_2" id="2">
  <tableColumns count="7">
    <tableColumn name="SKU" id="1"/>
    <tableColumn name="Producto" id="2"/>
    <tableColumn name="Categoria" id="3"/>
    <tableColumn name="Proveedor" id="4"/>
    <tableColumn name="Precio_Lista" id="5"/>
    <tableColumn name="Costo_Base" id="6"/>
    <tableColumn name="Margen_Esperado" id="7"/>
  </tableColumns>
  <tableStyleInfo name="Maestro_Productos_Prec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20.0"/>
    <col customWidth="1" min="3" max="3" width="15.25"/>
    <col customWidth="1" min="4" max="4" width="15.88"/>
    <col customWidth="1" min="5" max="5" width="16.0"/>
    <col customWidth="1" min="6" max="6" width="18.13"/>
    <col customWidth="1" min="7" max="7" width="15.38"/>
    <col customWidth="1" min="8" max="8" width="20.13"/>
    <col customWidth="1" min="9" max="9" width="19.75"/>
    <col customWidth="1" min="17" max="17" width="17.5"/>
    <col customWidth="1" min="19" max="19" width="21.0"/>
    <col customWidth="1" min="20" max="20" width="22.0"/>
  </cols>
  <sheetData>
    <row r="1" ht="15.75" customHeight="1">
      <c r="A1" s="4" t="s">
        <v>3</v>
      </c>
      <c r="B1" s="6" t="s">
        <v>8</v>
      </c>
      <c r="C1" s="6" t="s">
        <v>10</v>
      </c>
      <c r="D1" s="4" t="s">
        <v>12</v>
      </c>
      <c r="E1" s="4" t="s">
        <v>14</v>
      </c>
      <c r="F1" s="4" t="s">
        <v>16</v>
      </c>
      <c r="G1" s="4" t="s">
        <v>11</v>
      </c>
      <c r="H1" s="4" t="s">
        <v>9</v>
      </c>
      <c r="I1" s="4" t="s">
        <v>18</v>
      </c>
      <c r="J1" s="4" t="s">
        <v>20</v>
      </c>
      <c r="K1" s="4" t="s">
        <v>21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28</v>
      </c>
      <c r="Q1" s="7" t="s">
        <v>29</v>
      </c>
      <c r="R1" s="7" t="s">
        <v>30</v>
      </c>
      <c r="S1" s="7" t="s">
        <v>32</v>
      </c>
      <c r="T1" s="10" t="s">
        <v>33</v>
      </c>
    </row>
    <row r="2" ht="15.75" customHeight="1">
      <c r="A2" s="11" t="s">
        <v>35</v>
      </c>
      <c r="B2" s="14" t="str">
        <f t="shared" ref="B2:B22" si="1">LEFT(A2,2)</f>
        <v>TR</v>
      </c>
      <c r="C2" s="14">
        <f t="shared" ref="C2:C22" si="2">LEN(A2)</f>
        <v>8</v>
      </c>
      <c r="D2" s="16">
        <v>46027.0</v>
      </c>
      <c r="E2" s="18" t="s">
        <v>39</v>
      </c>
      <c r="F2" s="18" t="s">
        <v>41</v>
      </c>
      <c r="G2" s="18" t="s">
        <v>31</v>
      </c>
      <c r="H2" s="11" t="s">
        <v>27</v>
      </c>
      <c r="I2" s="19">
        <v>15.0</v>
      </c>
      <c r="J2" s="19">
        <v>3500.0</v>
      </c>
      <c r="K2" s="19">
        <v>2400.0</v>
      </c>
      <c r="L2" s="21">
        <f t="shared" ref="L2:L22" si="3">MONTH(D2)</f>
        <v>1</v>
      </c>
      <c r="M2" s="21">
        <f t="shared" ref="M2:M22" si="4">DAY(D2)</f>
        <v>5</v>
      </c>
      <c r="N2" s="21">
        <f t="shared" ref="N2:N22" si="5">WEEKDAY(M2)</f>
        <v>5</v>
      </c>
      <c r="O2" s="21" t="str">
        <f t="shared" ref="O2:O22" si="6">TEXT(N2,"dddd")</f>
        <v>jueves</v>
      </c>
      <c r="P2" s="21" t="str">
        <f t="shared" ref="P2:P22" si="7">RIGHT(D2,5)</f>
        <v>01-05</v>
      </c>
      <c r="Q2" s="21" t="str">
        <f t="array" ref="Q2">IFERROR(_xlfn.XLOOKUP(H2, Maestro_Productos_Precios!$B:$B, Maestro_Productos_Precios!$D:$D),"Producto no encontrado")</f>
        <v>Cooperativa Neike</v>
      </c>
      <c r="R2" s="21" t="str">
        <f t="array" ref="R2">_xlfn.XLOOKUP(H2, Maestro_Productos_Precios!$B:$B, Maestro_Productos_Precios!$G:$G, "No Encontrado")</f>
        <v>0.31</v>
      </c>
      <c r="S2" s="23" t="str">
        <f t="array" ref="S2">IFERROR(INDEX(Maestro_Productos_Precios!$D:$D, MATCH(H2, Maestro_Productos_Precios!$B:$B, 0)),"Producto no encontrado")</f>
        <v>Cooperativa Neike</v>
      </c>
      <c r="T2" s="23">
        <f>IFERROR(IF(VLOOKUP(E2, Reporte_Consolidado_M1!$A$2:$B$4, 2, FALSE) &gt; 50000, J2 * 0.05, J2 * 0.02),0)</f>
        <v>175</v>
      </c>
    </row>
    <row r="3" ht="15.75" customHeight="1">
      <c r="A3" s="11" t="s">
        <v>58</v>
      </c>
      <c r="B3" s="14" t="str">
        <f t="shared" si="1"/>
        <v>TR</v>
      </c>
      <c r="C3" s="14">
        <f t="shared" si="2"/>
        <v>8</v>
      </c>
      <c r="D3" s="16">
        <v>46028.0</v>
      </c>
      <c r="E3" s="18" t="s">
        <v>60</v>
      </c>
      <c r="F3" s="18" t="s">
        <v>62</v>
      </c>
      <c r="G3" s="18" t="s">
        <v>40</v>
      </c>
      <c r="H3" s="11" t="s">
        <v>38</v>
      </c>
      <c r="I3" s="19">
        <v>4.0</v>
      </c>
      <c r="J3" s="19">
        <v>25000.0</v>
      </c>
      <c r="K3" s="19">
        <v>16000.0</v>
      </c>
      <c r="L3" s="21">
        <f t="shared" si="3"/>
        <v>1</v>
      </c>
      <c r="M3" s="21">
        <f t="shared" si="4"/>
        <v>6</v>
      </c>
      <c r="N3" s="21">
        <f t="shared" si="5"/>
        <v>6</v>
      </c>
      <c r="O3" s="21" t="str">
        <f t="shared" si="6"/>
        <v>viernes</v>
      </c>
      <c r="P3" s="21" t="str">
        <f t="shared" si="7"/>
        <v>01-06</v>
      </c>
      <c r="Q3" s="21" t="str">
        <f t="array" ref="Q3">IFERROR(_xlfn.XLOOKUP(H3, Maestro_Productos_Precios!$B:$B, Maestro_Productos_Precios!$D:$D),"Producto no encontrado")</f>
        <v>TechImport S.R.L.</v>
      </c>
      <c r="R3" s="21" t="str">
        <f t="array" ref="R3">_xlfn.XLOOKUP(H3, Maestro_Productos_Precios!$B:$B, Maestro_Productos_Precios!$G:$G, "No Encontrado")</f>
        <v>0.36</v>
      </c>
      <c r="S3" s="21" t="str">
        <f t="array" ref="S3">IFERROR(INDEX(Maestro_Productos_Precios!$D:$D, MATCH(H3, Maestro_Productos_Precios!$B:$B, 0)),"Producto no encontrado")</f>
        <v>TechImport S.R.L.</v>
      </c>
      <c r="T3" s="23">
        <f>IFERROR(IF(VLOOKUP(E3, Reporte_Consolidado_M1!$A$2:$B$4, 2, FALSE) &gt; 50000, J3 * 0.05, J3 * 0.02),0)</f>
        <v>1250</v>
      </c>
    </row>
    <row r="4" ht="15.75" customHeight="1">
      <c r="A4" s="11" t="s">
        <v>65</v>
      </c>
      <c r="B4" s="14" t="str">
        <f t="shared" si="1"/>
        <v>TR</v>
      </c>
      <c r="C4" s="14">
        <f t="shared" si="2"/>
        <v>8</v>
      </c>
      <c r="D4" s="16">
        <v>46028.0</v>
      </c>
      <c r="E4" s="18" t="s">
        <v>39</v>
      </c>
      <c r="F4" s="18" t="s">
        <v>66</v>
      </c>
      <c r="G4" s="18" t="s">
        <v>31</v>
      </c>
      <c r="H4" s="11" t="s">
        <v>27</v>
      </c>
      <c r="I4" s="19">
        <v>8.0</v>
      </c>
      <c r="J4" s="19">
        <v>3500.0</v>
      </c>
      <c r="K4" s="19">
        <v>2400.0</v>
      </c>
      <c r="L4" s="21">
        <f t="shared" si="3"/>
        <v>1</v>
      </c>
      <c r="M4" s="21">
        <f t="shared" si="4"/>
        <v>6</v>
      </c>
      <c r="N4" s="21">
        <f t="shared" si="5"/>
        <v>6</v>
      </c>
      <c r="O4" s="21" t="str">
        <f t="shared" si="6"/>
        <v>viernes</v>
      </c>
      <c r="P4" s="21" t="str">
        <f t="shared" si="7"/>
        <v>01-06</v>
      </c>
      <c r="Q4" s="21" t="str">
        <f t="array" ref="Q4">IFERROR(_xlfn.XLOOKUP(H4, Maestro_Productos_Precios!$B:$B, Maestro_Productos_Precios!$D:$D),"Producto no encontrado")</f>
        <v>Cooperativa Neike</v>
      </c>
      <c r="R4" s="21" t="str">
        <f t="array" ref="R4">_xlfn.XLOOKUP(H4, Maestro_Productos_Precios!$B:$B, Maestro_Productos_Precios!$G:$G, "No Encontrado")</f>
        <v>0.31</v>
      </c>
      <c r="S4" s="21" t="str">
        <f t="array" ref="S4">IFERROR(INDEX(Maestro_Productos_Precios!$D:$D, MATCH(H4, Maestro_Productos_Precios!$B:$B, 0)),"Producto no encontrado")</f>
        <v>Cooperativa Neike</v>
      </c>
      <c r="T4" s="23">
        <f>IFERROR(IF(VLOOKUP(E4, Reporte_Consolidado_M1!$A$2:$B$4, 2, FALSE) &gt; 50000, J4 * 0.05, J4 * 0.02),0)</f>
        <v>175</v>
      </c>
    </row>
    <row r="5" ht="15.75" customHeight="1">
      <c r="A5" s="11" t="s">
        <v>67</v>
      </c>
      <c r="B5" s="14" t="str">
        <f t="shared" si="1"/>
        <v>TR</v>
      </c>
      <c r="C5" s="14">
        <f t="shared" si="2"/>
        <v>8</v>
      </c>
      <c r="D5" s="16">
        <v>46030.0</v>
      </c>
      <c r="E5" s="18" t="s">
        <v>2</v>
      </c>
      <c r="F5" s="18" t="s">
        <v>68</v>
      </c>
      <c r="G5" s="18" t="s">
        <v>46</v>
      </c>
      <c r="H5" s="11" t="s">
        <v>45</v>
      </c>
      <c r="I5" s="19">
        <v>12.0</v>
      </c>
      <c r="J5" s="19">
        <v>8500.0</v>
      </c>
      <c r="K5" s="19">
        <v>5000.0</v>
      </c>
      <c r="L5" s="21">
        <f t="shared" si="3"/>
        <v>1</v>
      </c>
      <c r="M5" s="21">
        <f t="shared" si="4"/>
        <v>8</v>
      </c>
      <c r="N5" s="21">
        <f t="shared" si="5"/>
        <v>1</v>
      </c>
      <c r="O5" s="21" t="str">
        <f t="shared" si="6"/>
        <v>domingo</v>
      </c>
      <c r="P5" s="21" t="str">
        <f t="shared" si="7"/>
        <v>01-08</v>
      </c>
      <c r="Q5" s="21" t="str">
        <f t="array" ref="Q5">IFERROR(_xlfn.XLOOKUP(H5, Maestro_Productos_Precios!$B:$B, Maestro_Productos_Precios!$D:$D),"Producto no encontrado")</f>
        <v>PetStyle Litoral</v>
      </c>
      <c r="R5" s="21" t="str">
        <f t="array" ref="R5">_xlfn.XLOOKUP(H5, Maestro_Productos_Precios!$B:$B, Maestro_Productos_Precios!$G:$G, "No Encontrado")</f>
        <v>0.41</v>
      </c>
      <c r="S5" s="21" t="str">
        <f t="array" ref="S5">IFERROR(INDEX(Maestro_Productos_Precios!$D:$D, MATCH(H5, Maestro_Productos_Precios!$B:$B, 0)),"Producto no encontrado")</f>
        <v>PetStyle Litoral</v>
      </c>
      <c r="T5" s="23">
        <f>IFERROR(IF(VLOOKUP(E5, Reporte_Consolidado_M1!$A$2:$B$4, 2, FALSE) &gt; 50000, J5 * 0.05, J5 * 0.02),0)</f>
        <v>425</v>
      </c>
    </row>
    <row r="6" ht="15.75" customHeight="1">
      <c r="A6" s="11" t="s">
        <v>69</v>
      </c>
      <c r="B6" s="14" t="str">
        <f t="shared" si="1"/>
        <v>TR</v>
      </c>
      <c r="C6" s="14">
        <f t="shared" si="2"/>
        <v>8</v>
      </c>
      <c r="D6" s="16">
        <v>46032.0</v>
      </c>
      <c r="E6" s="18" t="s">
        <v>39</v>
      </c>
      <c r="F6" s="18" t="s">
        <v>62</v>
      </c>
      <c r="G6" s="18" t="s">
        <v>40</v>
      </c>
      <c r="H6" s="11" t="s">
        <v>50</v>
      </c>
      <c r="I6" s="19">
        <v>3.0</v>
      </c>
      <c r="J6" s="19">
        <v>18000.0</v>
      </c>
      <c r="K6" s="19">
        <v>11000.0</v>
      </c>
      <c r="L6" s="21">
        <f t="shared" si="3"/>
        <v>1</v>
      </c>
      <c r="M6" s="21">
        <f t="shared" si="4"/>
        <v>10</v>
      </c>
      <c r="N6" s="21">
        <f t="shared" si="5"/>
        <v>3</v>
      </c>
      <c r="O6" s="21" t="str">
        <f t="shared" si="6"/>
        <v>martes</v>
      </c>
      <c r="P6" s="21" t="str">
        <f t="shared" si="7"/>
        <v>01-10</v>
      </c>
      <c r="Q6" s="21" t="str">
        <f t="array" ref="Q6">IFERROR(_xlfn.XLOOKUP(H6, Maestro_Productos_Precios!$B:$B, Maestro_Productos_Precios!$D:$D),"Producto no encontrado")</f>
        <v>TechImport S.R.L.</v>
      </c>
      <c r="R6" s="21" t="str">
        <f t="array" ref="R6">_xlfn.XLOOKUP(H6, Maestro_Productos_Precios!$B:$B, Maestro_Productos_Precios!$G:$G, "No Encontrado")</f>
        <v>0.38</v>
      </c>
      <c r="S6" s="21" t="str">
        <f t="array" ref="S6">IFERROR(INDEX(Maestro_Productos_Precios!$D:$D, MATCH(H6, Maestro_Productos_Precios!$B:$B, 0)),"Producto no encontrado")</f>
        <v>TechImport S.R.L.</v>
      </c>
      <c r="T6" s="23">
        <f>IFERROR(IF(VLOOKUP(E6, Reporte_Consolidado_M1!$A$2:$B$4, 2, FALSE) &gt; 50000, J6 * 0.05, J6 * 0.02),0)</f>
        <v>900</v>
      </c>
    </row>
    <row r="7" ht="15.75" customHeight="1">
      <c r="A7" s="11" t="s">
        <v>70</v>
      </c>
      <c r="B7" s="14" t="str">
        <f t="shared" si="1"/>
        <v>TR</v>
      </c>
      <c r="C7" s="14">
        <f t="shared" si="2"/>
        <v>8</v>
      </c>
      <c r="D7" s="16">
        <v>46033.0</v>
      </c>
      <c r="E7" s="18" t="s">
        <v>60</v>
      </c>
      <c r="F7" s="18" t="s">
        <v>41</v>
      </c>
      <c r="G7" s="18" t="s">
        <v>31</v>
      </c>
      <c r="H7" s="11" t="s">
        <v>53</v>
      </c>
      <c r="I7" s="19">
        <v>5.0</v>
      </c>
      <c r="J7" s="19">
        <v>42000.0</v>
      </c>
      <c r="K7" s="19">
        <v>30000.0</v>
      </c>
      <c r="L7" s="21">
        <f t="shared" si="3"/>
        <v>1</v>
      </c>
      <c r="M7" s="21">
        <f t="shared" si="4"/>
        <v>11</v>
      </c>
      <c r="N7" s="21">
        <f t="shared" si="5"/>
        <v>4</v>
      </c>
      <c r="O7" s="21" t="str">
        <f t="shared" si="6"/>
        <v>miércoles</v>
      </c>
      <c r="P7" s="21" t="str">
        <f t="shared" si="7"/>
        <v>01-11</v>
      </c>
      <c r="Q7" s="21" t="str">
        <f t="array" ref="Q7">IFERROR(_xlfn.XLOOKUP(H7, Maestro_Productos_Precios!$B:$B, Maestro_Productos_Precios!$D:$D),"Producto no encontrado")</f>
        <v>NutriDog Arg</v>
      </c>
      <c r="R7" s="21" t="str">
        <f t="array" ref="R7">_xlfn.XLOOKUP(H7, Maestro_Productos_Precios!$B:$B, Maestro_Productos_Precios!$G:$G, "No Encontrado")</f>
        <v>0.28</v>
      </c>
      <c r="S7" s="21" t="str">
        <f t="array" ref="S7">IFERROR(INDEX(Maestro_Productos_Precios!$D:$D, MATCH(H7, Maestro_Productos_Precios!$B:$B, 0)),"Producto no encontrado")</f>
        <v>NutriDog Arg</v>
      </c>
      <c r="T7" s="23">
        <f>IFERROR(IF(VLOOKUP(E7, Reporte_Consolidado_M1!$A$2:$B$4, 2, FALSE) &gt; 50000, J7 * 0.05, J7 * 0.02),0)</f>
        <v>2100</v>
      </c>
    </row>
    <row r="8" ht="15.75" customHeight="1">
      <c r="A8" s="11" t="s">
        <v>71</v>
      </c>
      <c r="B8" s="14" t="str">
        <f t="shared" si="1"/>
        <v>TR</v>
      </c>
      <c r="C8" s="14">
        <f t="shared" si="2"/>
        <v>8</v>
      </c>
      <c r="D8" s="16">
        <v>46034.0</v>
      </c>
      <c r="E8" s="18" t="s">
        <v>2</v>
      </c>
      <c r="F8" s="18" t="s">
        <v>68</v>
      </c>
      <c r="G8" s="18" t="s">
        <v>31</v>
      </c>
      <c r="H8" s="11" t="s">
        <v>27</v>
      </c>
      <c r="I8" s="19">
        <v>20.0</v>
      </c>
      <c r="J8" s="19">
        <v>3500.0</v>
      </c>
      <c r="K8" s="19">
        <v>2400.0</v>
      </c>
      <c r="L8" s="21">
        <f t="shared" si="3"/>
        <v>1</v>
      </c>
      <c r="M8" s="21">
        <f t="shared" si="4"/>
        <v>12</v>
      </c>
      <c r="N8" s="21">
        <f t="shared" si="5"/>
        <v>5</v>
      </c>
      <c r="O8" s="21" t="str">
        <f t="shared" si="6"/>
        <v>jueves</v>
      </c>
      <c r="P8" s="21" t="str">
        <f t="shared" si="7"/>
        <v>01-12</v>
      </c>
      <c r="Q8" s="21" t="str">
        <f t="array" ref="Q8">IFERROR(_xlfn.XLOOKUP(H8, Maestro_Productos_Precios!$B:$B, Maestro_Productos_Precios!$D:$D),"Producto no encontrado")</f>
        <v>Cooperativa Neike</v>
      </c>
      <c r="R8" s="21" t="str">
        <f t="array" ref="R8">_xlfn.XLOOKUP(H8, Maestro_Productos_Precios!$B:$B, Maestro_Productos_Precios!$G:$G, "No Encontrado")</f>
        <v>0.31</v>
      </c>
      <c r="S8" s="21" t="str">
        <f t="array" ref="S8">IFERROR(INDEX(Maestro_Productos_Precios!$D:$D, MATCH(H8, Maestro_Productos_Precios!$B:$B, 0)),"Producto no encontrado")</f>
        <v>Cooperativa Neike</v>
      </c>
      <c r="T8" s="23">
        <f>IFERROR(IF(VLOOKUP(E8, Reporte_Consolidado_M1!$A$2:$B$4, 2, FALSE) &gt; 50000, J8 * 0.05, J8 * 0.02),0)</f>
        <v>175</v>
      </c>
    </row>
    <row r="9" ht="15.75" customHeight="1">
      <c r="A9" s="11" t="s">
        <v>72</v>
      </c>
      <c r="B9" s="14" t="str">
        <f t="shared" si="1"/>
        <v>TR</v>
      </c>
      <c r="C9" s="14">
        <f t="shared" si="2"/>
        <v>8</v>
      </c>
      <c r="D9" s="16">
        <v>46037.0</v>
      </c>
      <c r="E9" s="18" t="s">
        <v>39</v>
      </c>
      <c r="F9" s="18" t="s">
        <v>62</v>
      </c>
      <c r="G9" s="18" t="s">
        <v>46</v>
      </c>
      <c r="H9" s="11" t="s">
        <v>57</v>
      </c>
      <c r="I9" s="19">
        <v>15.0</v>
      </c>
      <c r="J9" s="19">
        <v>4500.0</v>
      </c>
      <c r="K9" s="19">
        <v>2500.0</v>
      </c>
      <c r="L9" s="21">
        <f t="shared" si="3"/>
        <v>1</v>
      </c>
      <c r="M9" s="21">
        <f t="shared" si="4"/>
        <v>15</v>
      </c>
      <c r="N9" s="21">
        <f t="shared" si="5"/>
        <v>1</v>
      </c>
      <c r="O9" s="21" t="str">
        <f t="shared" si="6"/>
        <v>domingo</v>
      </c>
      <c r="P9" s="21" t="str">
        <f t="shared" si="7"/>
        <v>01-15</v>
      </c>
      <c r="Q9" s="21" t="str">
        <f t="array" ref="Q9">IFERROR(_xlfn.XLOOKUP(H9, Maestro_Productos_Precios!$B:$B, Maestro_Productos_Precios!$D:$D),"Producto no encontrado")</f>
        <v>PetStyle Litoral</v>
      </c>
      <c r="R9" s="21" t="str">
        <f t="array" ref="R9">_xlfn.XLOOKUP(H9, Maestro_Productos_Precios!$B:$B, Maestro_Productos_Precios!$G:$G, "No Encontrado")</f>
        <v>0.44</v>
      </c>
      <c r="S9" s="21" t="str">
        <f t="array" ref="S9">IFERROR(INDEX(Maestro_Productos_Precios!$D:$D, MATCH(H9, Maestro_Productos_Precios!$B:$B, 0)),"Producto no encontrado")</f>
        <v>PetStyle Litoral</v>
      </c>
      <c r="T9" s="23">
        <f>IFERROR(IF(VLOOKUP(E9, Reporte_Consolidado_M1!$A$2:$B$4, 2, FALSE) &gt; 50000, J9 * 0.05, J9 * 0.02),0)</f>
        <v>225</v>
      </c>
    </row>
    <row r="10" ht="15.75" customHeight="1">
      <c r="A10" s="11" t="s">
        <v>73</v>
      </c>
      <c r="B10" s="14" t="str">
        <f t="shared" si="1"/>
        <v>TR</v>
      </c>
      <c r="C10" s="14">
        <f t="shared" si="2"/>
        <v>8</v>
      </c>
      <c r="D10" s="16">
        <v>46038.0</v>
      </c>
      <c r="E10" s="18" t="s">
        <v>60</v>
      </c>
      <c r="F10" s="18" t="s">
        <v>41</v>
      </c>
      <c r="G10" s="18" t="s">
        <v>40</v>
      </c>
      <c r="H10" s="11" t="s">
        <v>38</v>
      </c>
      <c r="I10" s="19">
        <v>6.0</v>
      </c>
      <c r="J10" s="19">
        <v>25000.0</v>
      </c>
      <c r="K10" s="19">
        <v>16000.0</v>
      </c>
      <c r="L10" s="21">
        <f t="shared" si="3"/>
        <v>1</v>
      </c>
      <c r="M10" s="21">
        <f t="shared" si="4"/>
        <v>16</v>
      </c>
      <c r="N10" s="21">
        <f t="shared" si="5"/>
        <v>2</v>
      </c>
      <c r="O10" s="21" t="str">
        <f t="shared" si="6"/>
        <v>lunes</v>
      </c>
      <c r="P10" s="21" t="str">
        <f t="shared" si="7"/>
        <v>01-16</v>
      </c>
      <c r="Q10" s="21" t="str">
        <f t="array" ref="Q10">IFERROR(_xlfn.XLOOKUP(H10, Maestro_Productos_Precios!$B:$B, Maestro_Productos_Precios!$D:$D),"Producto no encontrado")</f>
        <v>TechImport S.R.L.</v>
      </c>
      <c r="R10" s="21" t="str">
        <f t="array" ref="R10">_xlfn.XLOOKUP(H10, Maestro_Productos_Precios!$B:$B, Maestro_Productos_Precios!$G:$G, "No Encontrado")</f>
        <v>0.36</v>
      </c>
      <c r="S10" s="21" t="str">
        <f t="array" ref="S10">IFERROR(INDEX(Maestro_Productos_Precios!$D:$D, MATCH(H10, Maestro_Productos_Precios!$B:$B, 0)),"Producto no encontrado")</f>
        <v>TechImport S.R.L.</v>
      </c>
      <c r="T10" s="23">
        <f>IFERROR(IF(VLOOKUP(E10, Reporte_Consolidado_M1!$A$2:$B$4, 2, FALSE) &gt; 50000, J10 * 0.05, J10 * 0.02),0)</f>
        <v>1250</v>
      </c>
    </row>
    <row r="11" ht="15.75" customHeight="1">
      <c r="A11" s="11" t="s">
        <v>74</v>
      </c>
      <c r="B11" s="14" t="str">
        <f t="shared" si="1"/>
        <v>TR</v>
      </c>
      <c r="C11" s="14">
        <f t="shared" si="2"/>
        <v>8</v>
      </c>
      <c r="D11" s="16">
        <v>46040.0</v>
      </c>
      <c r="E11" s="18" t="s">
        <v>39</v>
      </c>
      <c r="F11" s="18" t="s">
        <v>68</v>
      </c>
      <c r="G11" s="18" t="s">
        <v>31</v>
      </c>
      <c r="H11" s="11" t="s">
        <v>63</v>
      </c>
      <c r="I11" s="19">
        <v>10.0</v>
      </c>
      <c r="J11" s="19">
        <v>28000.0</v>
      </c>
      <c r="K11" s="19">
        <v>19000.0</v>
      </c>
      <c r="L11" s="21">
        <f t="shared" si="3"/>
        <v>1</v>
      </c>
      <c r="M11" s="21">
        <f t="shared" si="4"/>
        <v>18</v>
      </c>
      <c r="N11" s="21">
        <f t="shared" si="5"/>
        <v>4</v>
      </c>
      <c r="O11" s="21" t="str">
        <f t="shared" si="6"/>
        <v>miércoles</v>
      </c>
      <c r="P11" s="21" t="str">
        <f t="shared" si="7"/>
        <v>01-18</v>
      </c>
      <c r="Q11" s="21" t="str">
        <f t="array" ref="Q11">IFERROR(_xlfn.XLOOKUP(H11, Maestro_Productos_Precios!$B:$B, Maestro_Productos_Precios!$D:$D),"Producto no encontrado")</f>
        <v>NutriDog Arg</v>
      </c>
      <c r="R11" s="21" t="str">
        <f t="array" ref="R11">_xlfn.XLOOKUP(H11, Maestro_Productos_Precios!$B:$B, Maestro_Productos_Precios!$G:$G, "No Encontrado")</f>
        <v>0.32</v>
      </c>
      <c r="S11" s="21" t="str">
        <f t="array" ref="S11">IFERROR(INDEX(Maestro_Productos_Precios!$D:$D, MATCH(H11, Maestro_Productos_Precios!$B:$B, 0)),"Producto no encontrado")</f>
        <v>NutriDog Arg</v>
      </c>
      <c r="T11" s="23">
        <f>IFERROR(IF(VLOOKUP(E11, Reporte_Consolidado_M1!$A$2:$B$4, 2, FALSE) &gt; 50000, J11 * 0.05, J11 * 0.02),0)</f>
        <v>1400</v>
      </c>
    </row>
    <row r="12" ht="15.75" customHeight="1">
      <c r="A12" s="11" t="s">
        <v>75</v>
      </c>
      <c r="B12" s="14" t="str">
        <f t="shared" si="1"/>
        <v>TR</v>
      </c>
      <c r="C12" s="14">
        <f t="shared" si="2"/>
        <v>8</v>
      </c>
      <c r="D12" s="16">
        <v>46042.0</v>
      </c>
      <c r="E12" s="18" t="s">
        <v>2</v>
      </c>
      <c r="F12" s="18" t="s">
        <v>62</v>
      </c>
      <c r="G12" s="18" t="s">
        <v>31</v>
      </c>
      <c r="H12" s="11" t="s">
        <v>27</v>
      </c>
      <c r="I12" s="19">
        <v>14.0</v>
      </c>
      <c r="J12" s="19">
        <v>3500.0</v>
      </c>
      <c r="K12" s="19">
        <v>2400.0</v>
      </c>
      <c r="L12" s="21">
        <f t="shared" si="3"/>
        <v>1</v>
      </c>
      <c r="M12" s="21">
        <f t="shared" si="4"/>
        <v>20</v>
      </c>
      <c r="N12" s="21">
        <f t="shared" si="5"/>
        <v>6</v>
      </c>
      <c r="O12" s="21" t="str">
        <f t="shared" si="6"/>
        <v>viernes</v>
      </c>
      <c r="P12" s="21" t="str">
        <f t="shared" si="7"/>
        <v>01-20</v>
      </c>
      <c r="Q12" s="21" t="str">
        <f t="array" ref="Q12">IFERROR(_xlfn.XLOOKUP(H12, Maestro_Productos_Precios!$B:$B, Maestro_Productos_Precios!$D:$D),"Producto no encontrado")</f>
        <v>Cooperativa Neike</v>
      </c>
      <c r="R12" s="21" t="str">
        <f t="array" ref="R12">_xlfn.XLOOKUP(H12, Maestro_Productos_Precios!$B:$B, Maestro_Productos_Precios!$G:$G, "No Encontrado")</f>
        <v>0.31</v>
      </c>
      <c r="S12" s="21" t="str">
        <f t="array" ref="S12">IFERROR(INDEX(Maestro_Productos_Precios!$D:$D, MATCH(H12, Maestro_Productos_Precios!$B:$B, 0)),"Producto no encontrado")</f>
        <v>Cooperativa Neike</v>
      </c>
      <c r="T12" s="23">
        <f>IFERROR(IF(VLOOKUP(E12, Reporte_Consolidado_M1!$A$2:$B$4, 2, FALSE) &gt; 50000, J12 * 0.05, J12 * 0.02),0)</f>
        <v>175</v>
      </c>
    </row>
    <row r="13" ht="15.75" customHeight="1">
      <c r="A13" s="11" t="s">
        <v>76</v>
      </c>
      <c r="B13" s="14" t="str">
        <f t="shared" si="1"/>
        <v>TR</v>
      </c>
      <c r="C13" s="14">
        <f t="shared" si="2"/>
        <v>8</v>
      </c>
      <c r="D13" s="16">
        <v>46044.0</v>
      </c>
      <c r="E13" s="18" t="s">
        <v>60</v>
      </c>
      <c r="F13" s="18" t="s">
        <v>68</v>
      </c>
      <c r="G13" s="18" t="s">
        <v>46</v>
      </c>
      <c r="H13" s="11" t="s">
        <v>45</v>
      </c>
      <c r="I13" s="19">
        <v>9.0</v>
      </c>
      <c r="J13" s="19">
        <v>8500.0</v>
      </c>
      <c r="K13" s="19">
        <v>5000.0</v>
      </c>
      <c r="L13" s="21">
        <f t="shared" si="3"/>
        <v>1</v>
      </c>
      <c r="M13" s="21">
        <f t="shared" si="4"/>
        <v>22</v>
      </c>
      <c r="N13" s="21">
        <f t="shared" si="5"/>
        <v>1</v>
      </c>
      <c r="O13" s="21" t="str">
        <f t="shared" si="6"/>
        <v>domingo</v>
      </c>
      <c r="P13" s="21" t="str">
        <f t="shared" si="7"/>
        <v>01-22</v>
      </c>
      <c r="Q13" s="21" t="str">
        <f t="array" ref="Q13">IFERROR(_xlfn.XLOOKUP(H13, Maestro_Productos_Precios!$B:$B, Maestro_Productos_Precios!$D:$D),"Producto no encontrado")</f>
        <v>PetStyle Litoral</v>
      </c>
      <c r="R13" s="21" t="str">
        <f t="array" ref="R13">_xlfn.XLOOKUP(H13, Maestro_Productos_Precios!$B:$B, Maestro_Productos_Precios!$G:$G, "No Encontrado")</f>
        <v>0.41</v>
      </c>
      <c r="S13" s="21" t="str">
        <f t="array" ref="S13">IFERROR(INDEX(Maestro_Productos_Precios!$D:$D, MATCH(H13, Maestro_Productos_Precios!$B:$B, 0)),"Producto no encontrado")</f>
        <v>PetStyle Litoral</v>
      </c>
      <c r="T13" s="23">
        <f>IFERROR(IF(VLOOKUP(E13, Reporte_Consolidado_M1!$A$2:$B$4, 2, FALSE) &gt; 50000, J13 * 0.05, J13 * 0.02),0)</f>
        <v>425</v>
      </c>
    </row>
    <row r="14" ht="15.75" customHeight="1">
      <c r="A14" s="11" t="s">
        <v>77</v>
      </c>
      <c r="B14" s="14" t="str">
        <f t="shared" si="1"/>
        <v>TR</v>
      </c>
      <c r="C14" s="14">
        <f t="shared" si="2"/>
        <v>8</v>
      </c>
      <c r="D14" s="16">
        <v>46047.0</v>
      </c>
      <c r="E14" s="18" t="s">
        <v>39</v>
      </c>
      <c r="F14" s="18" t="s">
        <v>41</v>
      </c>
      <c r="G14" s="18" t="s">
        <v>40</v>
      </c>
      <c r="H14" s="11" t="s">
        <v>50</v>
      </c>
      <c r="I14" s="19">
        <v>7.0</v>
      </c>
      <c r="J14" s="19">
        <v>18000.0</v>
      </c>
      <c r="K14" s="19">
        <v>11000.0</v>
      </c>
      <c r="L14" s="21">
        <f t="shared" si="3"/>
        <v>1</v>
      </c>
      <c r="M14" s="21">
        <f t="shared" si="4"/>
        <v>25</v>
      </c>
      <c r="N14" s="21">
        <f t="shared" si="5"/>
        <v>4</v>
      </c>
      <c r="O14" s="21" t="str">
        <f t="shared" si="6"/>
        <v>miércoles</v>
      </c>
      <c r="P14" s="21" t="str">
        <f t="shared" si="7"/>
        <v>01-25</v>
      </c>
      <c r="Q14" s="21" t="str">
        <f t="array" ref="Q14">IFERROR(_xlfn.XLOOKUP(H14, Maestro_Productos_Precios!$B:$B, Maestro_Productos_Precios!$D:$D),"Producto no encontrado")</f>
        <v>TechImport S.R.L.</v>
      </c>
      <c r="R14" s="21" t="str">
        <f t="array" ref="R14">_xlfn.XLOOKUP(H14, Maestro_Productos_Precios!$B:$B, Maestro_Productos_Precios!$G:$G, "No Encontrado")</f>
        <v>0.38</v>
      </c>
      <c r="S14" s="21" t="str">
        <f t="array" ref="S14">IFERROR(INDEX(Maestro_Productos_Precios!$D:$D, MATCH(H14, Maestro_Productos_Precios!$B:$B, 0)),"Producto no encontrado")</f>
        <v>TechImport S.R.L.</v>
      </c>
      <c r="T14" s="23">
        <f>IFERROR(IF(VLOOKUP(E14, Reporte_Consolidado_M1!$A$2:$B$4, 2, FALSE) &gt; 50000, J14 * 0.05, J14 * 0.02),0)</f>
        <v>900</v>
      </c>
    </row>
    <row r="15" ht="15.75" customHeight="1">
      <c r="A15" s="11" t="s">
        <v>78</v>
      </c>
      <c r="B15" s="14" t="str">
        <f t="shared" si="1"/>
        <v>TR</v>
      </c>
      <c r="C15" s="14">
        <f t="shared" si="2"/>
        <v>8</v>
      </c>
      <c r="D15" s="16">
        <v>46050.0</v>
      </c>
      <c r="E15" s="18" t="s">
        <v>2</v>
      </c>
      <c r="F15" s="18" t="s">
        <v>41</v>
      </c>
      <c r="G15" s="18" t="s">
        <v>31</v>
      </c>
      <c r="H15" s="11" t="s">
        <v>53</v>
      </c>
      <c r="I15" s="19">
        <v>4.0</v>
      </c>
      <c r="J15" s="19">
        <v>42000.0</v>
      </c>
      <c r="K15" s="19">
        <v>30000.0</v>
      </c>
      <c r="L15" s="21">
        <f t="shared" si="3"/>
        <v>1</v>
      </c>
      <c r="M15" s="21">
        <f t="shared" si="4"/>
        <v>28</v>
      </c>
      <c r="N15" s="21">
        <f t="shared" si="5"/>
        <v>7</v>
      </c>
      <c r="O15" s="21" t="str">
        <f t="shared" si="6"/>
        <v>sábado</v>
      </c>
      <c r="P15" s="21" t="str">
        <f t="shared" si="7"/>
        <v>01-28</v>
      </c>
      <c r="Q15" s="21" t="str">
        <f t="array" ref="Q15">IFERROR(_xlfn.XLOOKUP(H15, Maestro_Productos_Precios!$B:$B, Maestro_Productos_Precios!$D:$D),"Producto no encontrado")</f>
        <v>NutriDog Arg</v>
      </c>
      <c r="R15" s="21" t="str">
        <f t="array" ref="R15">_xlfn.XLOOKUP(H15, Maestro_Productos_Precios!$B:$B, Maestro_Productos_Precios!$G:$G, "No Encontrado")</f>
        <v>0.28</v>
      </c>
      <c r="S15" s="21" t="str">
        <f t="array" ref="S15">IFERROR(INDEX(Maestro_Productos_Precios!$D:$D, MATCH(H15, Maestro_Productos_Precios!$B:$B, 0)),"Producto no encontrado")</f>
        <v>NutriDog Arg</v>
      </c>
      <c r="T15" s="23">
        <f>IFERROR(IF(VLOOKUP(E15, Reporte_Consolidado_M1!$A$2:$B$4, 2, FALSE) &gt; 50000, J15 * 0.05, J15 * 0.02),0)</f>
        <v>2100</v>
      </c>
    </row>
    <row r="16" ht="15.75" customHeight="1">
      <c r="A16" s="11" t="s">
        <v>79</v>
      </c>
      <c r="B16" s="14" t="str">
        <f t="shared" si="1"/>
        <v>TR</v>
      </c>
      <c r="C16" s="14">
        <f t="shared" si="2"/>
        <v>8</v>
      </c>
      <c r="D16" s="16">
        <v>46055.0</v>
      </c>
      <c r="E16" s="18" t="s">
        <v>39</v>
      </c>
      <c r="F16" s="18" t="s">
        <v>62</v>
      </c>
      <c r="G16" s="18" t="s">
        <v>31</v>
      </c>
      <c r="H16" s="11" t="s">
        <v>27</v>
      </c>
      <c r="I16" s="19">
        <v>25.0</v>
      </c>
      <c r="J16" s="19">
        <v>3500.0</v>
      </c>
      <c r="K16" s="19">
        <v>2400.0</v>
      </c>
      <c r="L16" s="21">
        <f t="shared" si="3"/>
        <v>2</v>
      </c>
      <c r="M16" s="21">
        <f t="shared" si="4"/>
        <v>2</v>
      </c>
      <c r="N16" s="21">
        <f t="shared" si="5"/>
        <v>2</v>
      </c>
      <c r="O16" s="21" t="str">
        <f t="shared" si="6"/>
        <v>lunes</v>
      </c>
      <c r="P16" s="21" t="str">
        <f t="shared" si="7"/>
        <v>02-02</v>
      </c>
      <c r="Q16" s="21" t="str">
        <f t="array" ref="Q16">IFERROR(_xlfn.XLOOKUP(H16, Maestro_Productos_Precios!$B:$B, Maestro_Productos_Precios!$D:$D),"Producto no encontrado")</f>
        <v>Cooperativa Neike</v>
      </c>
      <c r="R16" s="21" t="str">
        <f t="array" ref="R16">_xlfn.XLOOKUP(H16, Maestro_Productos_Precios!$B:$B, Maestro_Productos_Precios!$G:$G, "No Encontrado")</f>
        <v>0.31</v>
      </c>
      <c r="S16" s="21" t="str">
        <f t="array" ref="S16">IFERROR(INDEX(Maestro_Productos_Precios!$D:$D, MATCH(H16, Maestro_Productos_Precios!$B:$B, 0)),"Producto no encontrado")</f>
        <v>Cooperativa Neike</v>
      </c>
      <c r="T16" s="23">
        <f>IFERROR(IF(VLOOKUP(E16, Reporte_Consolidado_M1!$A$2:$B$4, 2, FALSE) &gt; 50000, J16 * 0.05, J16 * 0.02),0)</f>
        <v>175</v>
      </c>
    </row>
    <row r="17" ht="15.75" customHeight="1">
      <c r="A17" s="11" t="s">
        <v>80</v>
      </c>
      <c r="B17" s="14" t="str">
        <f t="shared" si="1"/>
        <v>TR</v>
      </c>
      <c r="C17" s="14">
        <f t="shared" si="2"/>
        <v>8</v>
      </c>
      <c r="D17" s="16">
        <v>46057.0</v>
      </c>
      <c r="E17" s="18" t="s">
        <v>60</v>
      </c>
      <c r="F17" s="18" t="s">
        <v>68</v>
      </c>
      <c r="G17" s="18" t="s">
        <v>40</v>
      </c>
      <c r="H17" s="11" t="s">
        <v>38</v>
      </c>
      <c r="I17" s="19">
        <v>8.0</v>
      </c>
      <c r="J17" s="19">
        <v>25000.0</v>
      </c>
      <c r="K17" s="19">
        <v>16000.0</v>
      </c>
      <c r="L17" s="21">
        <f t="shared" si="3"/>
        <v>2</v>
      </c>
      <c r="M17" s="21">
        <f t="shared" si="4"/>
        <v>4</v>
      </c>
      <c r="N17" s="21">
        <f t="shared" si="5"/>
        <v>4</v>
      </c>
      <c r="O17" s="21" t="str">
        <f t="shared" si="6"/>
        <v>miércoles</v>
      </c>
      <c r="P17" s="21" t="str">
        <f t="shared" si="7"/>
        <v>02-04</v>
      </c>
      <c r="Q17" s="21" t="str">
        <f t="array" ref="Q17">IFERROR(_xlfn.XLOOKUP(H17, Maestro_Productos_Precios!$B:$B, Maestro_Productos_Precios!$D:$D),"Producto no encontrado")</f>
        <v>TechImport S.R.L.</v>
      </c>
      <c r="R17" s="21" t="str">
        <f t="array" ref="R17">_xlfn.XLOOKUP(H17, Maestro_Productos_Precios!$B:$B, Maestro_Productos_Precios!$G:$G, "No Encontrado")</f>
        <v>0.36</v>
      </c>
      <c r="S17" s="21" t="str">
        <f t="array" ref="S17">IFERROR(INDEX(Maestro_Productos_Precios!$D:$D, MATCH(H17, Maestro_Productos_Precios!$B:$B, 0)),"Producto no encontrado")</f>
        <v>TechImport S.R.L.</v>
      </c>
      <c r="T17" s="23">
        <f>IFERROR(IF(VLOOKUP(E17, Reporte_Consolidado_M1!$A$2:$B$4, 2, FALSE) &gt; 50000, J17 * 0.05, J17 * 0.02),0)</f>
        <v>1250</v>
      </c>
    </row>
    <row r="18" ht="15.75" customHeight="1">
      <c r="A18" s="11" t="s">
        <v>81</v>
      </c>
      <c r="B18" s="14" t="str">
        <f t="shared" si="1"/>
        <v>TR</v>
      </c>
      <c r="C18" s="14">
        <f t="shared" si="2"/>
        <v>8</v>
      </c>
      <c r="D18" s="16">
        <v>46058.0</v>
      </c>
      <c r="E18" s="18" t="s">
        <v>39</v>
      </c>
      <c r="F18" s="18" t="s">
        <v>41</v>
      </c>
      <c r="G18" s="18" t="s">
        <v>46</v>
      </c>
      <c r="H18" s="11" t="s">
        <v>57</v>
      </c>
      <c r="I18" s="19">
        <v>20.0</v>
      </c>
      <c r="J18" s="19">
        <v>4500.0</v>
      </c>
      <c r="K18" s="19">
        <v>2500.0</v>
      </c>
      <c r="L18" s="21">
        <f t="shared" si="3"/>
        <v>2</v>
      </c>
      <c r="M18" s="21">
        <f t="shared" si="4"/>
        <v>5</v>
      </c>
      <c r="N18" s="21">
        <f t="shared" si="5"/>
        <v>5</v>
      </c>
      <c r="O18" s="21" t="str">
        <f t="shared" si="6"/>
        <v>jueves</v>
      </c>
      <c r="P18" s="21" t="str">
        <f t="shared" si="7"/>
        <v>02-05</v>
      </c>
      <c r="Q18" s="21" t="str">
        <f t="array" ref="Q18">IFERROR(_xlfn.XLOOKUP(H18, Maestro_Productos_Precios!$B:$B, Maestro_Productos_Precios!$D:$D),"Producto no encontrado")</f>
        <v>PetStyle Litoral</v>
      </c>
      <c r="R18" s="21" t="str">
        <f t="array" ref="R18">_xlfn.XLOOKUP(H18, Maestro_Productos_Precios!$B:$B, Maestro_Productos_Precios!$G:$G, "No Encontrado")</f>
        <v>0.44</v>
      </c>
      <c r="S18" s="21" t="str">
        <f t="array" ref="S18">IFERROR(INDEX(Maestro_Productos_Precios!$D:$D, MATCH(H18, Maestro_Productos_Precios!$B:$B, 0)),"Producto no encontrado")</f>
        <v>PetStyle Litoral</v>
      </c>
      <c r="T18" s="23">
        <f>IFERROR(IF(VLOOKUP(E18, Reporte_Consolidado_M1!$A$2:$B$4, 2, FALSE) &gt; 50000, J18 * 0.05, J18 * 0.02),0)</f>
        <v>225</v>
      </c>
    </row>
    <row r="19" ht="15.75" customHeight="1">
      <c r="A19" s="11" t="s">
        <v>82</v>
      </c>
      <c r="B19" s="14" t="str">
        <f t="shared" si="1"/>
        <v>TR</v>
      </c>
      <c r="C19" s="14">
        <f t="shared" si="2"/>
        <v>8</v>
      </c>
      <c r="D19" s="16">
        <v>46061.0</v>
      </c>
      <c r="E19" s="18" t="s">
        <v>2</v>
      </c>
      <c r="F19" s="18" t="s">
        <v>62</v>
      </c>
      <c r="G19" s="18" t="s">
        <v>31</v>
      </c>
      <c r="H19" s="11" t="s">
        <v>63</v>
      </c>
      <c r="I19" s="19">
        <v>12.0</v>
      </c>
      <c r="J19" s="19">
        <v>28000.0</v>
      </c>
      <c r="K19" s="19">
        <v>19000.0</v>
      </c>
      <c r="L19" s="21">
        <f t="shared" si="3"/>
        <v>2</v>
      </c>
      <c r="M19" s="21">
        <f t="shared" si="4"/>
        <v>8</v>
      </c>
      <c r="N19" s="21">
        <f t="shared" si="5"/>
        <v>1</v>
      </c>
      <c r="O19" s="21" t="str">
        <f t="shared" si="6"/>
        <v>domingo</v>
      </c>
      <c r="P19" s="21" t="str">
        <f t="shared" si="7"/>
        <v>02-08</v>
      </c>
      <c r="Q19" s="21" t="str">
        <f t="array" ref="Q19">IFERROR(_xlfn.XLOOKUP(H19, Maestro_Productos_Precios!$B:$B, Maestro_Productos_Precios!$D:$D),"Producto no encontrado")</f>
        <v>NutriDog Arg</v>
      </c>
      <c r="R19" s="21" t="str">
        <f t="array" ref="R19">_xlfn.XLOOKUP(H19, Maestro_Productos_Precios!$B:$B, Maestro_Productos_Precios!$G:$G, "No Encontrado")</f>
        <v>0.32</v>
      </c>
      <c r="S19" s="21" t="str">
        <f t="array" ref="S19">IFERROR(INDEX(Maestro_Productos_Precios!$D:$D, MATCH(H19, Maestro_Productos_Precios!$B:$B, 0)),"Producto no encontrado")</f>
        <v>NutriDog Arg</v>
      </c>
      <c r="T19" s="23">
        <f>IFERROR(IF(VLOOKUP(E19, Reporte_Consolidado_M1!$A$2:$B$4, 2, FALSE) &gt; 50000, J19 * 0.05, J19 * 0.02),0)</f>
        <v>1400</v>
      </c>
    </row>
    <row r="20" ht="15.75" customHeight="1">
      <c r="A20" s="11" t="s">
        <v>83</v>
      </c>
      <c r="B20" s="14" t="str">
        <f t="shared" si="1"/>
        <v>TR</v>
      </c>
      <c r="C20" s="14">
        <f t="shared" si="2"/>
        <v>8</v>
      </c>
      <c r="D20" s="16">
        <v>46063.0</v>
      </c>
      <c r="E20" s="18" t="s">
        <v>60</v>
      </c>
      <c r="F20" s="18" t="s">
        <v>41</v>
      </c>
      <c r="G20" s="18" t="s">
        <v>31</v>
      </c>
      <c r="H20" s="11" t="s">
        <v>27</v>
      </c>
      <c r="I20" s="19">
        <v>18.0</v>
      </c>
      <c r="J20" s="19">
        <v>3500.0</v>
      </c>
      <c r="K20" s="19">
        <v>2400.0</v>
      </c>
      <c r="L20" s="21">
        <f t="shared" si="3"/>
        <v>2</v>
      </c>
      <c r="M20" s="21">
        <f t="shared" si="4"/>
        <v>10</v>
      </c>
      <c r="N20" s="21">
        <f t="shared" si="5"/>
        <v>3</v>
      </c>
      <c r="O20" s="21" t="str">
        <f t="shared" si="6"/>
        <v>martes</v>
      </c>
      <c r="P20" s="21" t="str">
        <f t="shared" si="7"/>
        <v>02-10</v>
      </c>
      <c r="Q20" s="21" t="str">
        <f t="array" ref="Q20">IFERROR(_xlfn.XLOOKUP(H20, Maestro_Productos_Precios!$B:$B, Maestro_Productos_Precios!$D:$D),"Producto no encontrado")</f>
        <v>Cooperativa Neike</v>
      </c>
      <c r="R20" s="21" t="str">
        <f t="array" ref="R20">_xlfn.XLOOKUP(H20, Maestro_Productos_Precios!$B:$B, Maestro_Productos_Precios!$G:$G, "No Encontrado")</f>
        <v>0.31</v>
      </c>
      <c r="S20" s="21" t="str">
        <f t="array" ref="S20">IFERROR(INDEX(Maestro_Productos_Precios!$D:$D, MATCH(H20, Maestro_Productos_Precios!$B:$B, 0)),"Producto no encontrado")</f>
        <v>Cooperativa Neike</v>
      </c>
      <c r="T20" s="23">
        <f>IFERROR(IF(VLOOKUP(E20, Reporte_Consolidado_M1!$A$2:$B$4, 2, FALSE) &gt; 50000, J20 * 0.05, J20 * 0.02),0)</f>
        <v>175</v>
      </c>
    </row>
    <row r="21" ht="15.75" customHeight="1">
      <c r="A21" s="11" t="s">
        <v>84</v>
      </c>
      <c r="B21" s="14" t="str">
        <f t="shared" si="1"/>
        <v>TR</v>
      </c>
      <c r="C21" s="14">
        <f t="shared" si="2"/>
        <v>8</v>
      </c>
      <c r="D21" s="16">
        <v>46065.0</v>
      </c>
      <c r="E21" s="18" t="s">
        <v>39</v>
      </c>
      <c r="F21" s="18" t="s">
        <v>68</v>
      </c>
      <c r="G21" s="18" t="s">
        <v>40</v>
      </c>
      <c r="H21" s="11" t="s">
        <v>50</v>
      </c>
      <c r="I21" s="19">
        <v>5.0</v>
      </c>
      <c r="J21" s="19">
        <v>18000.0</v>
      </c>
      <c r="K21" s="19">
        <v>11000.0</v>
      </c>
      <c r="L21" s="21">
        <f t="shared" si="3"/>
        <v>2</v>
      </c>
      <c r="M21" s="21">
        <f t="shared" si="4"/>
        <v>12</v>
      </c>
      <c r="N21" s="21">
        <f t="shared" si="5"/>
        <v>5</v>
      </c>
      <c r="O21" s="21" t="str">
        <f t="shared" si="6"/>
        <v>jueves</v>
      </c>
      <c r="P21" s="21" t="str">
        <f t="shared" si="7"/>
        <v>02-12</v>
      </c>
      <c r="Q21" s="21" t="str">
        <f t="array" ref="Q21">IFERROR(_xlfn.XLOOKUP(H21, Maestro_Productos_Precios!$B:$B, Maestro_Productos_Precios!$D:$D),"Producto no encontrado")</f>
        <v>TechImport S.R.L.</v>
      </c>
      <c r="R21" s="21" t="str">
        <f t="array" ref="R21">_xlfn.XLOOKUP(H21, Maestro_Productos_Precios!$B:$B, Maestro_Productos_Precios!$G:$G, "No Encontrado")</f>
        <v>0.38</v>
      </c>
      <c r="S21" s="21" t="str">
        <f t="array" ref="S21">IFERROR(INDEX(Maestro_Productos_Precios!$D:$D, MATCH(H21, Maestro_Productos_Precios!$B:$B, 0)),"Producto no encontrado")</f>
        <v>TechImport S.R.L.</v>
      </c>
      <c r="T21" s="23">
        <f>IFERROR(IF(VLOOKUP(E21, Reporte_Consolidado_M1!$A$2:$B$4, 2, FALSE) &gt; 50000, J21 * 0.05, J21 * 0.02),0)</f>
        <v>900</v>
      </c>
    </row>
    <row r="22" ht="15.75" customHeight="1">
      <c r="A22" s="28"/>
      <c r="B22" s="29" t="str">
        <f t="shared" si="1"/>
        <v/>
      </c>
      <c r="C22" s="29">
        <f t="shared" si="2"/>
        <v>0</v>
      </c>
      <c r="D22" s="30"/>
      <c r="E22" s="31"/>
      <c r="F22" s="31"/>
      <c r="G22" s="31"/>
      <c r="H22" s="32" t="s">
        <v>85</v>
      </c>
      <c r="I22" s="33"/>
      <c r="J22" s="33"/>
      <c r="K22" s="33"/>
      <c r="L22" s="21">
        <f t="shared" si="3"/>
        <v>12</v>
      </c>
      <c r="M22" s="21">
        <f t="shared" si="4"/>
        <v>30</v>
      </c>
      <c r="N22" s="21">
        <f t="shared" si="5"/>
        <v>2</v>
      </c>
      <c r="O22" s="21" t="str">
        <f t="shared" si="6"/>
        <v>lunes</v>
      </c>
      <c r="P22" s="21" t="str">
        <f t="shared" si="7"/>
        <v/>
      </c>
      <c r="Q22" s="21" t="str">
        <f t="array" ref="Q22">IFERROR(_xlfn.XLOOKUP(H22, Maestro_Productos_Precios!$B:$B, Maestro_Productos_Precios!$D:$D),"Producto no encontrado")</f>
        <v>Producto no encontrado</v>
      </c>
      <c r="R22" s="21" t="str">
        <f t="array" ref="R22">_xlfn.XLOOKUP(H22, Maestro_Productos_Precios!$B:$B, Maestro_Productos_Precios!$G:$G, "No Encontrado")</f>
        <v>No Encontrado</v>
      </c>
      <c r="S22" s="21" t="str">
        <f t="array" ref="S22">IFERROR(INDEX(Maestro_Productos_Precios!$D:$D, MATCH(H22, Maestro_Productos_Precios!$B:$B, 0)),"Producto no encontrado")</f>
        <v>Producto no encontrado</v>
      </c>
      <c r="T22" s="23">
        <f>IFERROR(IF(VLOOKUP(E22, Reporte_Consolidado_M1!$A$2:$B$4, 2, FALSE) &gt; 50000, J22 * 0.05, J22 * 0.02),0)</f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2">
      <formula1>"Juan Perez,Maria Gomez,juan perez,Carlos Ruiz"</formula1>
    </dataValidation>
    <dataValidation type="list" allowBlank="1" showDropDown="1" showErrorMessage="1" sqref="E2:E22">
      <formula1>"Corrientes,Resistencia,Posadas"</formula1>
    </dataValidation>
    <dataValidation type="list" allowBlank="1" showDropDown="1" showErrorMessage="1" sqref="G2:G22">
      <formula1>"Alimentos,Tecnologia,Accesorios"</formula1>
    </dataValidation>
    <dataValidation type="custom" allowBlank="1" showDropDown="1" sqref="D2:D22">
      <formula1>OR(NOT(ISERROR(DATEVALUE(D2))), AND(ISNUMBER(D2), LEFT(CELL("format", D2))="D"))</formula1>
    </dataValidation>
    <dataValidation type="custom" allowBlank="1" showDropDown="1" sqref="C2:C22 I2:K2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</row>
    <row r="2">
      <c r="A2" s="2" t="str">
        <f>Untitled!E2</f>
        <v>Corrientes</v>
      </c>
      <c r="B2" s="3">
        <f>SUMIFS(Untitled!$J:$J, Untitled!$E:$E, "Corrientes")</f>
        <v>101500</v>
      </c>
    </row>
    <row r="3">
      <c r="A3" s="2" t="str">
        <f>Untitled!E3</f>
        <v>Resistencia</v>
      </c>
      <c r="B3" s="3">
        <f>SUMIFS(Untitled!$J:$J, Untitled!$E:$E, "Resistencia")</f>
        <v>129000</v>
      </c>
    </row>
    <row r="4">
      <c r="A4" s="1" t="s">
        <v>2</v>
      </c>
      <c r="B4" s="3">
        <f>SUMIFS(Untitled!$J:$J, Untitled!$E:$E, "Posadas")</f>
        <v>85500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8.13"/>
  </cols>
  <sheetData>
    <row r="1" ht="22.5" customHeight="1">
      <c r="A1" s="5" t="s">
        <v>4</v>
      </c>
      <c r="B1" s="5" t="s">
        <v>9</v>
      </c>
      <c r="C1" s="5" t="s">
        <v>11</v>
      </c>
      <c r="D1" s="5" t="s">
        <v>13</v>
      </c>
      <c r="E1" s="5" t="s">
        <v>15</v>
      </c>
      <c r="F1" s="5" t="s">
        <v>17</v>
      </c>
      <c r="G1" s="5" t="s">
        <v>19</v>
      </c>
    </row>
    <row r="2" ht="22.5" customHeight="1">
      <c r="A2" s="8" t="s">
        <v>22</v>
      </c>
      <c r="B2" s="9" t="s">
        <v>27</v>
      </c>
      <c r="C2" s="9" t="s">
        <v>31</v>
      </c>
      <c r="D2" s="9" t="s">
        <v>34</v>
      </c>
      <c r="E2" s="12">
        <v>3500.0</v>
      </c>
      <c r="F2" s="12">
        <v>2400.0</v>
      </c>
      <c r="G2" s="13" t="s">
        <v>36</v>
      </c>
    </row>
    <row r="3" ht="22.5" customHeight="1">
      <c r="A3" s="15" t="s">
        <v>37</v>
      </c>
      <c r="B3" s="17" t="s">
        <v>38</v>
      </c>
      <c r="C3" s="17" t="s">
        <v>40</v>
      </c>
      <c r="D3" s="17" t="s">
        <v>42</v>
      </c>
      <c r="E3" s="20">
        <v>25000.0</v>
      </c>
      <c r="F3" s="20">
        <v>16000.0</v>
      </c>
      <c r="G3" s="22" t="s">
        <v>43</v>
      </c>
    </row>
    <row r="4" ht="22.5" customHeight="1">
      <c r="A4" s="8" t="s">
        <v>44</v>
      </c>
      <c r="B4" s="9" t="s">
        <v>45</v>
      </c>
      <c r="C4" s="9" t="s">
        <v>46</v>
      </c>
      <c r="D4" s="9" t="s">
        <v>47</v>
      </c>
      <c r="E4" s="12">
        <v>8500.0</v>
      </c>
      <c r="F4" s="12">
        <v>5000.0</v>
      </c>
      <c r="G4" s="13" t="s">
        <v>48</v>
      </c>
    </row>
    <row r="5" ht="22.5" customHeight="1">
      <c r="A5" s="15" t="s">
        <v>49</v>
      </c>
      <c r="B5" s="17" t="s">
        <v>50</v>
      </c>
      <c r="C5" s="17" t="s">
        <v>40</v>
      </c>
      <c r="D5" s="17" t="s">
        <v>42</v>
      </c>
      <c r="E5" s="20">
        <v>18000.0</v>
      </c>
      <c r="F5" s="20">
        <v>11000.0</v>
      </c>
      <c r="G5" s="22" t="s">
        <v>51</v>
      </c>
    </row>
    <row r="6" ht="22.5" customHeight="1">
      <c r="A6" s="8" t="s">
        <v>52</v>
      </c>
      <c r="B6" s="9" t="s">
        <v>53</v>
      </c>
      <c r="C6" s="9" t="s">
        <v>31</v>
      </c>
      <c r="D6" s="9" t="s">
        <v>54</v>
      </c>
      <c r="E6" s="12">
        <v>42000.0</v>
      </c>
      <c r="F6" s="12">
        <v>30000.0</v>
      </c>
      <c r="G6" s="13" t="s">
        <v>55</v>
      </c>
    </row>
    <row r="7" ht="22.5" customHeight="1">
      <c r="A7" s="15" t="s">
        <v>56</v>
      </c>
      <c r="B7" s="17" t="s">
        <v>57</v>
      </c>
      <c r="C7" s="17" t="s">
        <v>46</v>
      </c>
      <c r="D7" s="17" t="s">
        <v>47</v>
      </c>
      <c r="E7" s="20">
        <v>4500.0</v>
      </c>
      <c r="F7" s="20">
        <v>2500.0</v>
      </c>
      <c r="G7" s="22" t="s">
        <v>59</v>
      </c>
    </row>
    <row r="8" ht="22.5" customHeight="1">
      <c r="A8" s="24" t="s">
        <v>61</v>
      </c>
      <c r="B8" s="25" t="s">
        <v>63</v>
      </c>
      <c r="C8" s="25" t="s">
        <v>31</v>
      </c>
      <c r="D8" s="25" t="s">
        <v>54</v>
      </c>
      <c r="E8" s="26">
        <v>28000.0</v>
      </c>
      <c r="F8" s="26">
        <v>19000.0</v>
      </c>
      <c r="G8" s="27" t="s">
        <v>64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